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003210\Downloads\"/>
    </mc:Choice>
  </mc:AlternateContent>
  <xr:revisionPtr revIDLastSave="0" documentId="13_ncr:1_{BAAF12AB-C94F-4591-B70D-9D4A6A07549F}" xr6:coauthVersionLast="47" xr6:coauthVersionMax="47" xr10:uidLastSave="{00000000-0000-0000-0000-000000000000}"/>
  <bookViews>
    <workbookView xWindow="19090" yWindow="-110" windowWidth="38620" windowHeight="21220" tabRatio="500" xr2:uid="{00000000-000D-0000-FFFF-FFFF00000000}"/>
  </bookViews>
  <sheets>
    <sheet name="Sheet1" sheetId="1" r:id="rId1"/>
  </sheets>
  <definedNames>
    <definedName name="_xlchart.v1.0" hidden="1">Sheet1!$A$1</definedName>
    <definedName name="_xlchart.v1.1" hidden="1">Sheet1!$A$2:$A$20</definedName>
    <definedName name="_xlchart.v1.2" hidden="1">Sheet1!$B$1</definedName>
    <definedName name="_xlchart.v1.3" hidden="1">Sheet1!$B$2:$B$20</definedName>
    <definedName name="_xlchart.v1.4" hidden="1">Sheet1!$A$1</definedName>
    <definedName name="_xlchart.v1.5" hidden="1">Sheet1!$A$2:$A$20</definedName>
    <definedName name="_xlchart.v1.6" hidden="1">Sheet1!$B$1</definedName>
    <definedName name="_xlchart.v1.7" hidden="1">Sheet1!$B$2:$B$20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E15" i="1" l="1"/>
  <c r="E18" i="1" s="1"/>
  <c r="E9" i="1"/>
  <c r="E5" i="1"/>
  <c r="E2" i="1"/>
  <c r="E8" i="1"/>
  <c r="E3" i="1"/>
  <c r="E6" i="1"/>
  <c r="E10" i="1" l="1"/>
  <c r="E12" i="1" s="1"/>
</calcChain>
</file>

<file path=xl/sharedStrings.xml><?xml version="1.0" encoding="utf-8"?>
<sst xmlns="http://schemas.openxmlformats.org/spreadsheetml/2006/main" count="19" uniqueCount="19">
  <si>
    <t>Variável 1</t>
  </si>
  <si>
    <t>Variável 2</t>
  </si>
  <si>
    <t>Estatística</t>
  </si>
  <si>
    <t>Valor</t>
  </si>
  <si>
    <t>N Variável 1</t>
  </si>
  <si>
    <t>N Variável 2</t>
  </si>
  <si>
    <t>Média Variável 1</t>
  </si>
  <si>
    <t>Média Variável 2</t>
  </si>
  <si>
    <t>D.P. amostral Var.1</t>
  </si>
  <si>
    <t>D.P. amostral Var.2</t>
  </si>
  <si>
    <t>S_p</t>
  </si>
  <si>
    <t>Estatística T</t>
  </si>
  <si>
    <t>Modo</t>
  </si>
  <si>
    <t>Tipo</t>
  </si>
  <si>
    <t>P-valor</t>
  </si>
  <si>
    <t>Nível do teste (alpha)</t>
  </si>
  <si>
    <t>Resultado</t>
  </si>
  <si>
    <t>Amostras independentes</t>
  </si>
  <si>
    <t>Bicaudal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</si>
</sst>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E+00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2E0AE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vertical="center"/>
    </xf>
    <xf numFmtId="2" fontId="0" fillId="0" borderId="0" xfId="0" applyNumberFormat="1"/>
    <xf numFmtId="2" fontId="1" fillId="0" borderId="0" xfId="0" applyNumberFormat="1" applyFont="1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2E0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Distribuições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Variável 1</c:v>
                </c:pt>
              </c:strCache>
            </c:strRef>
          </c:tx>
          <c:spPr>
            <a:solidFill>
              <a:schemeClr val="accent1">
                <a:alpha val="25000"/>
              </a:schemeClr>
            </a:solidFill>
            <a:ln>
              <a:solidFill>
                <a:schemeClr val="accent1">
                  <a:alpha val="25000"/>
                </a:schemeClr>
              </a:solidFill>
            </a:ln>
            <a:effectLst/>
          </c:spPr>
          <c:val>
            <c:numRef>
              <c:f>Sheet1!$A$2:$A$20</c:f>
              <c:numCache>
                <c:formatCode>0.00</c:formatCode>
                <c:ptCount val="19"/>
                <c:pt idx="0">
                  <c:v>4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1-4ABE-94C8-E123861FAC5A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Variável 2</c:v>
                </c:pt>
              </c:strCache>
            </c:strRef>
          </c:tx>
          <c:spPr>
            <a:solidFill>
              <a:schemeClr val="accent2">
                <a:alpha val="25000"/>
              </a:schemeClr>
            </a:solidFill>
            <a:ln>
              <a:solidFill>
                <a:schemeClr val="accent1">
                  <a:alpha val="25000"/>
                </a:schemeClr>
              </a:solidFill>
            </a:ln>
            <a:effectLst/>
          </c:spPr>
          <c:val>
            <c:numRef>
              <c:f>Sheet1!$B$2:$B$20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81-4ABE-94C8-E123861FA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479024"/>
        <c:axId val="553476944"/>
      </c:areaChart>
      <c:catAx>
        <c:axId val="55347902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3476944"/>
        <c:crosses val="autoZero"/>
        <c:auto val="1"/>
        <c:lblAlgn val="ctr"/>
        <c:lblOffset val="100"/>
        <c:noMultiLvlLbl val="0"/>
      </c:catAx>
      <c:valAx>
        <c:axId val="55347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3479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Distribuições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pt-BR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 panose="020F0502020204030204"/>
            </a:rPr>
            <a:t>Distribuições</a:t>
          </a:r>
        </a:p>
      </cx:txPr>
    </cx:title>
    <cx:plotArea>
      <cx:plotAreaRegion>
        <cx:series layoutId="boxWhisker" uniqueId="{7DCCCB87-F8EA-4EAD-BDB3-4EB217640BF8}">
          <cx:tx>
            <cx:txData>
              <cx:f>_xlchart.v1.0</cx:f>
              <cx:v>Variável 1</cx:v>
            </cx:txData>
          </cx:tx>
          <cx:dataId val="0"/>
          <cx:layoutPr>
            <cx:statistics quartileMethod="exclusive"/>
          </cx:layoutPr>
        </cx:series>
        <cx:series layoutId="boxWhisker" uniqueId="{60405C4C-FC78-4A3B-AB82-198FBE461E48}">
          <cx:tx>
            <cx:txData>
              <cx:f>_xlchart.v1.2</cx:f>
              <cx:v>Variável 2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/>
        <cx:majorTickMarks type="out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375840</xdr:colOff>
      <xdr:row>1</xdr:row>
      <xdr:rowOff>124200</xdr:rowOff>
    </xdr:from>
    <xdr:to>
      <xdr:col>8</xdr:col>
      <xdr:colOff>632520</xdr:colOff>
      <xdr:row>12</xdr:row>
      <xdr:rowOff>9720</xdr:rowOff>
    </xdr:to>
    <xdr:sp macro="" textlink="">
      <xdr:nvSpPr>
        <xdr:cNvPr id="2" name="Text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42440" y="286560"/>
          <a:ext cx="2694960" cy="1673640"/>
        </a:xfrm>
        <a:prstGeom prst="rect">
          <a:avLst/>
        </a:prstGeom>
        <a:solidFill>
          <a:srgbClr val="FFF200"/>
        </a:solidFill>
        <a:ln>
          <a:noFill/>
        </a:ln>
      </xdr:spPr>
      <xdr:txBody>
        <a:bodyPr lIns="0" tIns="0" rIns="0" bIns="0"/>
        <a:lstStyle/>
        <a:p>
          <a:r>
            <a:rPr lang="en-US" sz="1400" b="1" strike="noStrike" spc="-1">
              <a:latin typeface="Times New Roman"/>
            </a:rPr>
            <a:t>Remova os dados nas colunas Variável 1 e Variável 2 e insira seus próprios dados ordenados!</a:t>
          </a:r>
        </a:p>
        <a:p>
          <a:endParaRPr lang="en-US" sz="1400" b="1" strike="noStrike" spc="-1">
            <a:latin typeface="Times New Roman"/>
          </a:endParaRPr>
        </a:p>
        <a:p>
          <a:r>
            <a:rPr lang="en-US" sz="1400" b="1" strike="noStrike" spc="-1">
              <a:latin typeface="Times New Roman"/>
            </a:rPr>
            <a:t>Veja a matemágica a seguir :)</a:t>
          </a:r>
        </a:p>
        <a:p>
          <a:endParaRPr lang="en-US" sz="1400" b="1" strike="noStrike" spc="-1">
            <a:latin typeface="Times New Roman"/>
          </a:endParaRPr>
        </a:p>
      </xdr:txBody>
    </xdr:sp>
    <xdr:clientData/>
  </xdr:twoCellAnchor>
  <xdr:twoCellAnchor>
    <xdr:from>
      <xdr:col>3</xdr:col>
      <xdr:colOff>54195</xdr:colOff>
      <xdr:row>19</xdr:row>
      <xdr:rowOff>29341</xdr:rowOff>
    </xdr:from>
    <xdr:to>
      <xdr:col>5</xdr:col>
      <xdr:colOff>78828</xdr:colOff>
      <xdr:row>36</xdr:row>
      <xdr:rowOff>73792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31B7D27-2A67-0FD6-7E22-3D6D486B3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197069</xdr:colOff>
      <xdr:row>19</xdr:row>
      <xdr:rowOff>30655</xdr:rowOff>
    </xdr:from>
    <xdr:to>
      <xdr:col>8</xdr:col>
      <xdr:colOff>799772</xdr:colOff>
      <xdr:row>36</xdr:row>
      <xdr:rowOff>75106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66AB82D2-C869-464C-903F-C68149BCADFF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09897" y="3043621"/>
              <a:ext cx="3020082" cy="27245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zoomScale="145" zoomScaleNormal="145" workbookViewId="0">
      <pane ySplit="1" topLeftCell="A2" activePane="bottomLeft" state="frozen"/>
      <selection pane="bottomLeft" activeCell="L24" sqref="L24"/>
    </sheetView>
  </sheetViews>
  <sheetFormatPr defaultRowHeight="12.5" x14ac:dyDescent="0.25"/>
  <cols>
    <col min="1" max="2" width="11.54296875" style="2"/>
    <col min="3" max="3" width="11.54296875"/>
    <col min="4" max="4" width="19.81640625" customWidth="1"/>
    <col min="5" max="5" width="23.08984375" customWidth="1"/>
    <col min="6" max="1025" width="11.54296875"/>
  </cols>
  <sheetData>
    <row r="1" spans="1:5" ht="13" x14ac:dyDescent="0.3">
      <c r="A1" s="3" t="s">
        <v>0</v>
      </c>
      <c r="B1" s="3" t="s">
        <v>1</v>
      </c>
      <c r="D1" s="4" t="s">
        <v>2</v>
      </c>
      <c r="E1" s="4" t="s">
        <v>3</v>
      </c>
    </row>
    <row r="2" spans="1:5" x14ac:dyDescent="0.25">
      <c r="A2" s="2">
        <v>4</v>
      </c>
      <c r="B2">
        <v>1</v>
      </c>
      <c r="D2" t="s">
        <v>4</v>
      </c>
      <c r="E2">
        <f>COUNT(A:A)</f>
        <v>19</v>
      </c>
    </row>
    <row r="3" spans="1:5" x14ac:dyDescent="0.25">
      <c r="A3" s="2">
        <v>4</v>
      </c>
      <c r="B3">
        <v>2</v>
      </c>
      <c r="D3" t="s">
        <v>5</v>
      </c>
      <c r="E3">
        <f>COUNT(B:B)</f>
        <v>7</v>
      </c>
    </row>
    <row r="4" spans="1:5" x14ac:dyDescent="0.25">
      <c r="A4" s="2">
        <v>5</v>
      </c>
      <c r="B4">
        <v>3</v>
      </c>
    </row>
    <row r="5" spans="1:5" x14ac:dyDescent="0.25">
      <c r="A5" s="2">
        <v>5</v>
      </c>
      <c r="B5">
        <v>4</v>
      </c>
      <c r="D5" t="s">
        <v>6</v>
      </c>
      <c r="E5" s="5">
        <f>AVERAGE(A:A)</f>
        <v>4.4736842105263159</v>
      </c>
    </row>
    <row r="6" spans="1:5" x14ac:dyDescent="0.25">
      <c r="A6" s="2">
        <v>6</v>
      </c>
      <c r="B6">
        <v>3</v>
      </c>
      <c r="D6" t="s">
        <v>7</v>
      </c>
      <c r="E6" s="5">
        <f>AVERAGE(B:B)</f>
        <v>2.2857142857142856</v>
      </c>
    </row>
    <row r="7" spans="1:5" x14ac:dyDescent="0.25">
      <c r="A7" s="2">
        <v>6</v>
      </c>
      <c r="B7">
        <v>2</v>
      </c>
      <c r="E7" s="5"/>
    </row>
    <row r="8" spans="1:5" x14ac:dyDescent="0.25">
      <c r="A8" s="2">
        <v>7</v>
      </c>
      <c r="B8">
        <v>1</v>
      </c>
      <c r="D8" t="s">
        <v>8</v>
      </c>
      <c r="E8" s="5">
        <f>_xlfn.STDEV.S(A:A)</f>
        <v>1.7116730299340204</v>
      </c>
    </row>
    <row r="9" spans="1:5" x14ac:dyDescent="0.25">
      <c r="A9" s="2">
        <v>7</v>
      </c>
      <c r="D9" t="s">
        <v>9</v>
      </c>
      <c r="E9" s="5">
        <f>_xlfn.STDEV.S(B:B)</f>
        <v>1.1126972805283737</v>
      </c>
    </row>
    <row r="10" spans="1:5" x14ac:dyDescent="0.25">
      <c r="A10" s="2">
        <v>6</v>
      </c>
      <c r="D10" t="s">
        <v>10</v>
      </c>
      <c r="E10" s="5">
        <f>SQRT(((E2-1)*E8^2+(E3-1)*E9^2)/(E2+E3-2))</f>
        <v>1.583316844657582</v>
      </c>
    </row>
    <row r="11" spans="1:5" x14ac:dyDescent="0.25">
      <c r="A11" s="2">
        <v>6</v>
      </c>
      <c r="E11" s="5"/>
    </row>
    <row r="12" spans="1:5" x14ac:dyDescent="0.25">
      <c r="A12" s="2">
        <v>5</v>
      </c>
      <c r="D12" t="s">
        <v>11</v>
      </c>
      <c r="E12" s="5">
        <f>(E5-E6)/(E10*SQRT(1/E2+1/E3))</f>
        <v>3.1254507682506256</v>
      </c>
    </row>
    <row r="13" spans="1:5" x14ac:dyDescent="0.25">
      <c r="A13" s="2">
        <v>5</v>
      </c>
      <c r="D13" t="s">
        <v>12</v>
      </c>
      <c r="E13" t="s">
        <v>18</v>
      </c>
    </row>
    <row r="14" spans="1:5" x14ac:dyDescent="0.25">
      <c r="A14" s="2">
        <v>4</v>
      </c>
      <c r="D14" t="s">
        <v>13</v>
      </c>
      <c r="E14" s="2" t="s">
        <v>17</v>
      </c>
    </row>
    <row r="15" spans="1:5" x14ac:dyDescent="0.25">
      <c r="A15" s="2">
        <v>4</v>
      </c>
      <c r="D15" t="s">
        <v>14</v>
      </c>
      <c r="E15" s="6">
        <f>_xlfn.T.TEST(A:A,B:B,IF(E13="Monocaudal",1,2),IF(E14="Amostras pareadas",1,3))</f>
        <v>1.4527543948337084E-3</v>
      </c>
    </row>
    <row r="16" spans="1:5" x14ac:dyDescent="0.25">
      <c r="A16" s="2">
        <v>3</v>
      </c>
      <c r="D16" t="s">
        <v>15</v>
      </c>
      <c r="E16">
        <v>0.05</v>
      </c>
    </row>
    <row r="17" spans="1:9" x14ac:dyDescent="0.25">
      <c r="A17" s="2">
        <v>3</v>
      </c>
    </row>
    <row r="18" spans="1:9" ht="13" x14ac:dyDescent="0.3">
      <c r="A18" s="2">
        <v>2</v>
      </c>
      <c r="D18" s="4" t="s">
        <v>16</v>
      </c>
      <c r="E18" s="1" t="str">
        <f>IF(E15&lt;E16, "A diferença entre as médias é significativa!", "Não há diferença significativa entre as médias!")</f>
        <v>A diferença entre as médias é significativa!</v>
      </c>
      <c r="F18" s="1"/>
      <c r="G18" s="1"/>
      <c r="H18" s="1"/>
      <c r="I18" s="1"/>
    </row>
    <row r="19" spans="1:9" x14ac:dyDescent="0.25">
      <c r="A19" s="2">
        <v>2</v>
      </c>
    </row>
    <row r="20" spans="1:9" x14ac:dyDescent="0.25">
      <c r="A20" s="2">
        <v>1</v>
      </c>
    </row>
    <row r="44" spans="4:5" x14ac:dyDescent="0.25">
      <c r="D44" s="2"/>
      <c r="E44" s="2"/>
    </row>
    <row r="45" spans="4:5" x14ac:dyDescent="0.25">
      <c r="D45" s="2"/>
      <c r="E45" s="2"/>
    </row>
    <row r="46" spans="4:5" x14ac:dyDescent="0.25">
      <c r="D46" s="2"/>
      <c r="E46" s="2"/>
    </row>
    <row r="47" spans="4:5" x14ac:dyDescent="0.25">
      <c r="D47" s="2"/>
      <c r="E47" s="2"/>
    </row>
    <row r="48" spans="4:5" x14ac:dyDescent="0.25">
      <c r="D48" s="2"/>
      <c r="E48" s="2"/>
    </row>
    <row r="49" spans="4:5" x14ac:dyDescent="0.25">
      <c r="D49" s="2"/>
      <c r="E49" s="2"/>
    </row>
    <row r="50" spans="4:5" x14ac:dyDescent="0.25">
      <c r="D50" s="2"/>
      <c r="E50" s="2"/>
    </row>
    <row r="51" spans="4:5" x14ac:dyDescent="0.25">
      <c r="D51" s="2"/>
      <c r="E51" s="2"/>
    </row>
    <row r="52" spans="4:5" x14ac:dyDescent="0.25">
      <c r="D52" s="2"/>
      <c r="E52" s="2"/>
    </row>
    <row r="53" spans="4:5" x14ac:dyDescent="0.25">
      <c r="D53" s="2"/>
      <c r="E53" s="2"/>
    </row>
    <row r="54" spans="4:5" x14ac:dyDescent="0.25">
      <c r="D54" s="2"/>
      <c r="E54" s="2"/>
    </row>
    <row r="55" spans="4:5" x14ac:dyDescent="0.25">
      <c r="D55" s="2"/>
      <c r="E55" s="2"/>
    </row>
    <row r="56" spans="4:5" x14ac:dyDescent="0.25">
      <c r="D56" s="2"/>
      <c r="E56" s="2"/>
    </row>
  </sheetData>
  <mergeCells count="1">
    <mergeCell ref="E18:I18"/>
  </mergeCells>
  <dataValidations count="2">
    <dataValidation type="list" operator="equal" allowBlank="1" showInputMessage="1" showErrorMessage="1" error="Insira uma das opções!" promptTitle="Escolha se o teste é bicaudal ou monocaudal" prompt="(Dica: veja qual sua hipótese alternativa)" sqref="E13" xr:uid="{00000000-0002-0000-0000-000000000000}">
      <formula1>"Monocaudal,Bicaudal"</formula1>
      <formula2>0</formula2>
    </dataValidation>
    <dataValidation type="list" operator="equal" allowBlank="1" showInputMessage="1" showErrorMessage="1" error="Insira uma das duas opções" promptTitle="As amostras são independentes ou pareadas?" prompt="(Amostras pareadas são quando o mesmo indivíduo é amostrado duas vezes. Por exemplo, uma medida antes e depois.)" sqref="E14" xr:uid="{00000000-0002-0000-0000-000001000000}">
      <formula1>"Amostras pareadas,Amostras independentes"</formula1>
      <formula2>0</formula2>
    </dataValidation>
  </dataValidations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&amp;P&amp;L&amp;1#&amp;"Calibri"&amp;8&amp;K000000Classificação da informação: Neon@UsoInterno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 Franco</dc:creator>
  <dc:description/>
  <cp:lastModifiedBy>Diego Maciel Geronimo</cp:lastModifiedBy>
  <cp:revision>2</cp:revision>
  <dcterms:created xsi:type="dcterms:W3CDTF">2019-07-23T10:21:58Z</dcterms:created>
  <dcterms:modified xsi:type="dcterms:W3CDTF">2023-02-28T14:56:07Z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fa29220-57a0-46ba-aca7-962312de183d_Enabled">
    <vt:lpwstr>true</vt:lpwstr>
  </property>
  <property fmtid="{D5CDD505-2E9C-101B-9397-08002B2CF9AE}" pid="3" name="MSIP_Label_efa29220-57a0-46ba-aca7-962312de183d_SetDate">
    <vt:lpwstr>2023-02-28T14:56:07Z</vt:lpwstr>
  </property>
  <property fmtid="{D5CDD505-2E9C-101B-9397-08002B2CF9AE}" pid="4" name="MSIP_Label_efa29220-57a0-46ba-aca7-962312de183d_Method">
    <vt:lpwstr>Privileged</vt:lpwstr>
  </property>
  <property fmtid="{D5CDD505-2E9C-101B-9397-08002B2CF9AE}" pid="5" name="MSIP_Label_efa29220-57a0-46ba-aca7-962312de183d_Name">
    <vt:lpwstr>Teste_Uso Interno</vt:lpwstr>
  </property>
  <property fmtid="{D5CDD505-2E9C-101B-9397-08002B2CF9AE}" pid="6" name="MSIP_Label_efa29220-57a0-46ba-aca7-962312de183d_SiteId">
    <vt:lpwstr>3f54b4f9-5f65-4ed2-905f-fb14a26799c6</vt:lpwstr>
  </property>
  <property fmtid="{D5CDD505-2E9C-101B-9397-08002B2CF9AE}" pid="7" name="MSIP_Label_efa29220-57a0-46ba-aca7-962312de183d_ActionId">
    <vt:lpwstr>521d4d43-66de-4229-a53b-a553e3459bfc</vt:lpwstr>
  </property>
  <property fmtid="{D5CDD505-2E9C-101B-9397-08002B2CF9AE}" pid="8" name="MSIP_Label_efa29220-57a0-46ba-aca7-962312de183d_ContentBits">
    <vt:lpwstr>2</vt:lpwstr>
  </property>
</Properties>
</file>